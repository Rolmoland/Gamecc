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<sst xmlns="http://schemas.openxmlformats.org/spreadsheetml/2006/main" count="182" uniqueCount="155">
  <si>
    <t>McuSTUDIO_F470VET6</t>
  </si>
  <si>
    <t>startup_gd32f450_470.o</t>
  </si>
  <si>
    <t>data_memory.o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</si>
  <si>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</si>
  <si>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</si>
  <si>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</si>
  <si>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</si>
  <si>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</si>
  <si>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</si>
  <si>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</si>
  <si>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scheduler.o</t>
  </si>
  <si>
    <t>sdio_sdcard.o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</si>
  <si>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</si>
  <si>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</si>
  <si>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</si>
  <si>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</si>
  <si>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</si>
  <si>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</si>
  <si>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</si>
  <si>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btod.o</t>
  </si>
  <si>
    <t>system_function.o</t>
  </si>
  <si>
    <t>gd25qxx.o</t>
  </si>
  <si>
    <t>_printf_fp_dec.o</t>
  </si>
  <si>
    <t>_scanf.o</t>
  </si>
  <si>
    <t>_printf_fp_hex.o</t>
  </si>
  <si>
    <t>gd32f4xx_rcu.o</t>
  </si>
  <si>
    <t>gd32f4xx_dma.o</t>
  </si>
  <si>
    <t>gd32f4xx_timer.o</t>
  </si>
  <si>
    <t>gd32f4xx_usart.o</t>
  </si>
  <si>
    <t>gd32f4xx_sdio.o</t>
  </si>
  <si>
    <t>gd32f4xx_adc.o</t>
  </si>
  <si>
    <t>data_dispose.o</t>
  </si>
  <si>
    <t>unicode.o</t>
  </si>
  <si>
    <t>gd32f4xx_i2c.o</t>
  </si>
  <si>
    <t>__printf_flags_ss_wp.o</t>
  </si>
  <si>
    <t>gd32f4xx_rtc.o</t>
  </si>
  <si>
    <t>bigflt0.o</t>
  </si>
  <si>
    <t>_scanf_int.o</t>
  </si>
  <si>
    <t>lc_ctype_c.o</t>
  </si>
  <si>
    <t>gd32f4xx_gpio.o</t>
  </si>
  <si>
    <t>fz_wm.l</t>
  </si>
  <si>
    <t>diskio.o</t>
  </si>
  <si>
    <t>lludivv7m.o</t>
  </si>
  <si>
    <t>gd32f4xx_dac.o</t>
  </si>
  <si>
    <t>_printf_wctomb.o</t>
  </si>
  <si>
    <t>_printf_hex_int_ll_ptr.o</t>
  </si>
  <si>
    <t>_printf_intcommon.o</t>
  </si>
  <si>
    <t>gd32f4xx_misc.o</t>
  </si>
  <si>
    <t>strncmp.o</t>
  </si>
  <si>
    <t>gd32f4xx_it.o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</si>
  <si>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</si>
  <si>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</si>
  <si>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</si>
  <si>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</si>
  <si>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</si>
  <si>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</si>
  <si>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</si>
  <si>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_printf_dec.o</t>
  </si>
  <si>
    <t>_printf_oct_int_ll.o</t>
  </si>
  <si>
    <t>gd32f4xx_spi.o</t>
  </si>
  <si>
    <t>rt_memcpy_w.o</t>
  </si>
  <si>
    <t>__dczerorl2.o</t>
  </si>
  <si>
    <t>memcmp.o</t>
  </si>
  <si>
    <t>f2d.o</t>
  </si>
  <si>
    <t>strncpy.o</t>
  </si>
  <si>
    <t>main.o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</si>
  <si>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</si>
  <si>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</si>
  <si>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</si>
  <si>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</si>
  <si>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</si>
  <si>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</si>
  <si>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</si>
  <si>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</si>
  <si>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_wcrtomb.o</t>
  </si>
  <si>
    <t>_sgetc.o</t>
  </si>
  <si>
    <t>strlen.o</t>
  </si>
  <si>
    <t>__0sscanf.o</t>
  </si>
  <si>
    <t>oled_app.o</t>
  </si>
  <si>
    <t>vsnprintf.o</t>
  </si>
  <si>
    <t>__scatter.o</t>
  </si>
  <si>
    <t>m_wm.l</t>
  </si>
  <si>
    <t>fpclassify.o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</si>
  <si>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</si>
  <si>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</si>
  <si>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</si>
  <si>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</si>
  <si>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</si>
  <si>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</si>
  <si>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libinit2.o</t>
  </si>
  <si>
    <t>init_aeabi.o</t>
  </si>
  <si>
    <t>_printf_truncate.o</t>
  </si>
  <si>
    <t>systick_wrapper_ual.o</t>
  </si>
  <si>
    <t>_chval.o</t>
  </si>
  <si>
    <t>__scatter_zi.o</t>
  </si>
  <si>
    <t>strchr.o</t>
  </si>
  <si>
    <t>adc_app.o</t>
  </si>
  <si>
    <t>isspace.o</t>
  </si>
  <si>
    <t>exit.o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</si>
  <si>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</si>
  <si>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</si>
  <si>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</si>
  <si>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</si>
  <si>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</si>
  <si>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</si>
  <si>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</si>
  <si>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</si>
  <si>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fpinit.o</t>
  </si>
  <si>
    <t>rtexit2.o</t>
  </si>
  <si>
    <t>_sputc.o</t>
  </si>
  <si>
    <t>_printf_ll.o</t>
  </si>
  <si>
    <t>_printf_l.o</t>
  </si>
  <si>
    <t>sd_app.o</t>
  </si>
  <si>
    <t>rt_locale_intlibspace.o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</si>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</sst>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ram_percent!$A$3:$A$147</c:f>
              <c:strCache>
                <c:ptCount val="145"/>
                <c:pt idx="0">
                  <c:v>startup_gd32f450_470.o</c:v>
                </c:pt>
                <c:pt idx="1">
                  <c:v>data_memory.o</c:v>
                </c:pt>
                <c:pt idx="2">
                  <c:v>mcu_cmic_gd32f470vet6.o</c:v>
                </c:pt>
                <c:pt idx="3">
                  <c:v>config_manager.o</c:v>
                </c:pt>
                <c:pt idx="4">
                  <c:v>usart_app.o</c:v>
                </c:pt>
                <c:pt idx="5">
                  <c:v>btn_app.o</c:v>
                </c:pt>
                <c:pt idx="6">
                  <c:v>c_w.l</c:v>
                </c:pt>
                <c:pt idx="7">
                  <c:v>libspace.o</c:v>
                </c:pt>
                <c:pt idx="8">
                  <c:v>perf_counter.o</c:v>
                </c:pt>
                <c:pt idx="9">
                  <c:v>scheduler.o</c:v>
                </c:pt>
                <c:pt idx="10">
                  <c:v>sdio_sdcard.o</c:v>
                </c:pt>
                <c:pt idx="11">
                  <c:v>ebtn.o</c:v>
                </c:pt>
                <c:pt idx="12">
                  <c:v>oled.o</c:v>
                </c:pt>
                <c:pt idx="13">
                  <c:v>sampling_control.o</c:v>
                </c:pt>
                <c:pt idx="14">
                  <c:v>ff.o</c:v>
                </c:pt>
                <c:pt idx="15">
                  <c:v>led_app.o</c:v>
                </c:pt>
                <c:pt idx="16">
                  <c:v>systick.o</c:v>
                </c:pt>
                <c:pt idx="17">
                  <c:v>system_gd32f4xx.o</c:v>
                </c:pt>
                <c:pt idx="144">
                  <c:v>Totals</c:v>
                </c:pt>
              </c:strCache>
            </c:strRef>
          </c:cat>
          <c:val>
            <c:numRef>
              <c:f>ram_percent!$B$3:$B$147</c:f>
              <c:numCache>
                <c:formatCode>General</c:formatCode>
                <c:ptCount val="145"/>
                <c:pt idx="0">
                  <c:v>33.57927703857422</c:v>
                </c:pt>
                <c:pt idx="1">
                  <c:v>27.28316116333008</c:v>
                </c:pt>
                <c:pt idx="2">
                  <c:v>9.476963043212891</c:v>
                </c:pt>
                <c:pt idx="3">
                  <c:v>9.313002586364746</c:v>
                </c:pt>
                <c:pt idx="4">
                  <c:v>8.460403442382813</c:v>
                </c:pt>
                <c:pt idx="5">
                  <c:v>3.21364164352417</c:v>
                </c:pt>
                <c:pt idx="6">
                  <c:v>1.574028491973877</c:v>
                </c:pt>
                <c:pt idx="7">
                  <c:v>1.574028491973877</c:v>
                </c:pt>
                <c:pt idx="8">
                  <c:v>1.311690449714661</c:v>
                </c:pt>
                <c:pt idx="9">
                  <c:v>1.246105909347534</c:v>
                </c:pt>
                <c:pt idx="10">
                  <c:v>1.049352407455444</c:v>
                </c:pt>
                <c:pt idx="11">
                  <c:v>0.9837678074836731</c:v>
                </c:pt>
                <c:pt idx="12">
                  <c:v>0.3607148826122284</c:v>
                </c:pt>
                <c:pt idx="13">
                  <c:v>0.1967535614967346</c:v>
                </c:pt>
                <c:pt idx="14">
                  <c:v>0.1311690509319305</c:v>
                </c:pt>
                <c:pt idx="15">
                  <c:v>0.1147729158401489</c:v>
                </c:pt>
                <c:pt idx="16">
                  <c:v>0.06558452546596527</c:v>
                </c:pt>
                <c:pt idx="17">
                  <c:v>0.06558452546596527</c:v>
                </c:pt>
                <c:pt idx="14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flash_percent!$A$3:$A$147</c:f>
              <c:strCache>
                <c:ptCount val="145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data_memory.o</c:v>
                </c:pt>
                <c:pt idx="5">
                  <c:v>config_manager.o</c:v>
                </c:pt>
                <c:pt idx="6">
                  <c:v>btod.o</c:v>
                </c:pt>
                <c:pt idx="7">
                  <c:v>system_function.o</c:v>
                </c:pt>
                <c:pt idx="8">
                  <c:v>ebtn.o</c:v>
                </c:pt>
                <c:pt idx="9">
                  <c:v>gd25qxx.o</c:v>
                </c:pt>
                <c:pt idx="10">
                  <c:v>mcu_cmic_gd32f470vet6.o</c:v>
                </c:pt>
                <c:pt idx="11">
                  <c:v>_printf_fp_dec.o</c:v>
                </c:pt>
                <c:pt idx="12">
                  <c:v>_scanf.o</c:v>
                </c:pt>
                <c:pt idx="13">
                  <c:v>_printf_fp_hex.o</c:v>
                </c:pt>
                <c:pt idx="14">
                  <c:v>btn_app.o</c:v>
                </c:pt>
                <c:pt idx="15">
                  <c:v>perf_counter.o</c:v>
                </c:pt>
                <c:pt idx="16">
                  <c:v>gd32f4xx_rcu.o</c:v>
                </c:pt>
                <c:pt idx="17">
                  <c:v>gd32f4xx_dma.o</c:v>
                </c:pt>
                <c:pt idx="18">
                  <c:v>sampling_control.o</c:v>
                </c:pt>
                <c:pt idx="19">
                  <c:v>gd32f4xx_timer.o</c:v>
                </c:pt>
                <c:pt idx="20">
                  <c:v>gd32f4xx_usart.o</c:v>
                </c:pt>
                <c:pt idx="21">
                  <c:v>gd32f4xx_sdio.o</c:v>
                </c:pt>
                <c:pt idx="22">
                  <c:v>gd32f4xx_adc.o</c:v>
                </c:pt>
                <c:pt idx="23">
                  <c:v>system_gd32f4xx.o</c:v>
                </c:pt>
                <c:pt idx="24">
                  <c:v>startup_gd32f450_470.o</c:v>
                </c:pt>
                <c:pt idx="25">
                  <c:v>data_dispose.o</c:v>
                </c:pt>
                <c:pt idx="26">
                  <c:v>unicode.o</c:v>
                </c:pt>
                <c:pt idx="27">
                  <c:v>gd32f4xx_i2c.o</c:v>
                </c:pt>
                <c:pt idx="28">
                  <c:v>__printf_flags_ss_wp.o</c:v>
                </c:pt>
                <c:pt idx="29">
                  <c:v>gd32f4xx_rtc.o</c:v>
                </c:pt>
                <c:pt idx="30">
                  <c:v>bigflt0.o</c:v>
                </c:pt>
                <c:pt idx="31">
                  <c:v>_scanf_int.o</c:v>
                </c:pt>
                <c:pt idx="32">
                  <c:v>lc_ctype_c.o</c:v>
                </c:pt>
                <c:pt idx="33">
                  <c:v>gd32f4xx_gpio.o</c:v>
                </c:pt>
                <c:pt idx="34">
                  <c:v>fz_wm.l</c:v>
                </c:pt>
                <c:pt idx="35">
                  <c:v>diskio.o</c:v>
                </c:pt>
                <c:pt idx="36">
                  <c:v>lludivv7m.o</c:v>
                </c:pt>
                <c:pt idx="37">
                  <c:v>gd32f4xx_dac.o</c:v>
                </c:pt>
                <c:pt idx="38">
                  <c:v>_printf_wctomb.o</c:v>
                </c:pt>
                <c:pt idx="39">
                  <c:v>_printf_hex_int_ll_ptr.o</c:v>
                </c:pt>
                <c:pt idx="40">
                  <c:v>usart_app.o</c:v>
                </c:pt>
                <c:pt idx="41">
                  <c:v>_printf_intcommon.o</c:v>
                </c:pt>
                <c:pt idx="42">
                  <c:v>gd32f4xx_misc.o</c:v>
                </c:pt>
                <c:pt idx="43">
                  <c:v>strncmp.o</c:v>
                </c:pt>
                <c:pt idx="44">
                  <c:v>systick.o</c:v>
                </c:pt>
                <c:pt idx="45">
                  <c:v>scheduler.o</c:v>
                </c:pt>
                <c:pt idx="46">
                  <c:v>gd32f4xx_it.o</c:v>
                </c:pt>
                <c:pt idx="47">
                  <c:v>fnaninf.o</c:v>
                </c:pt>
                <c:pt idx="48">
                  <c:v>led_app.o</c:v>
                </c:pt>
                <c:pt idx="49">
                  <c:v>rt_memcpy_v6.o</c:v>
                </c:pt>
                <c:pt idx="50">
                  <c:v>lludiv10.o</c:v>
                </c:pt>
                <c:pt idx="51">
                  <c:v>strcmpv7m.o</c:v>
                </c:pt>
                <c:pt idx="52">
                  <c:v>_printf_fp_infnan.o</c:v>
                </c:pt>
                <c:pt idx="53">
                  <c:v>_printf_longlong_dec.o</c:v>
                </c:pt>
                <c:pt idx="54">
                  <c:v>perfc_port_default.o</c:v>
                </c:pt>
                <c:pt idx="55">
                  <c:v>_printf_dec.o</c:v>
                </c:pt>
                <c:pt idx="56">
                  <c:v>_printf_oct_int_ll.o</c:v>
                </c:pt>
                <c:pt idx="57">
                  <c:v>gd32f4xx_spi.o</c:v>
                </c:pt>
                <c:pt idx="58">
                  <c:v>rt_memcpy_w.o</c:v>
                </c:pt>
                <c:pt idx="59">
                  <c:v>__dczerorl2.o</c:v>
                </c:pt>
                <c:pt idx="60">
                  <c:v>memcmp.o</c:v>
                </c:pt>
                <c:pt idx="61">
                  <c:v>f2d.o</c:v>
                </c:pt>
                <c:pt idx="62">
                  <c:v>strncpy.o</c:v>
                </c:pt>
                <c:pt idx="63">
                  <c:v>main.o</c:v>
                </c:pt>
                <c:pt idx="64">
                  <c:v>_printf_str.o</c:v>
                </c:pt>
                <c:pt idx="65">
                  <c:v>rt_memclr_w.o</c:v>
                </c:pt>
                <c:pt idx="66">
                  <c:v>_printf_pad.o</c:v>
                </c:pt>
                <c:pt idx="67">
                  <c:v>sys_stackheap_outer.o</c:v>
                </c:pt>
                <c:pt idx="68">
                  <c:v>strcpy.o</c:v>
                </c:pt>
                <c:pt idx="69">
                  <c:v>llsdiv.o</c:v>
                </c:pt>
                <c:pt idx="70">
                  <c:v>lc_numeric_c.o</c:v>
                </c:pt>
                <c:pt idx="71">
                  <c:v>rt_memclr.o</c:v>
                </c:pt>
                <c:pt idx="72">
                  <c:v>_wcrtomb.o</c:v>
                </c:pt>
                <c:pt idx="73">
                  <c:v>_sgetc.o</c:v>
                </c:pt>
                <c:pt idx="74">
                  <c:v>strlen.o</c:v>
                </c:pt>
                <c:pt idx="75">
                  <c:v>__0sscanf.o</c:v>
                </c:pt>
                <c:pt idx="76">
                  <c:v>oled_app.o</c:v>
                </c:pt>
                <c:pt idx="77">
                  <c:v>vsnprintf.o</c:v>
                </c:pt>
                <c:pt idx="78">
                  <c:v>__scatter.o</c:v>
                </c:pt>
                <c:pt idx="79">
                  <c:v>m_wm.l</c:v>
                </c:pt>
                <c:pt idx="80">
                  <c:v>fpclassify.o</c:v>
                </c:pt>
                <c:pt idx="81">
                  <c:v>_printf_char_common.o</c:v>
                </c:pt>
                <c:pt idx="82">
                  <c:v>scanf_char.o</c:v>
                </c:pt>
                <c:pt idx="83">
                  <c:v>_printf_wchar.o</c:v>
                </c:pt>
                <c:pt idx="84">
                  <c:v>_printf_char.o</c:v>
                </c:pt>
                <c:pt idx="85">
                  <c:v>__2sprintf.o</c:v>
                </c:pt>
                <c:pt idx="86">
                  <c:v>_printf_charcount.o</c:v>
                </c:pt>
                <c:pt idx="87">
                  <c:v>libinit2.o</c:v>
                </c:pt>
                <c:pt idx="88">
                  <c:v>init_aeabi.o</c:v>
                </c:pt>
                <c:pt idx="89">
                  <c:v>_printf_truncate.o</c:v>
                </c:pt>
                <c:pt idx="90">
                  <c:v>systick_wrapper_ual.o</c:v>
                </c:pt>
                <c:pt idx="91">
                  <c:v>_chval.o</c:v>
                </c:pt>
                <c:pt idx="92">
                  <c:v>__scatter_zi.o</c:v>
                </c:pt>
                <c:pt idx="93">
                  <c:v>strchr.o</c:v>
                </c:pt>
                <c:pt idx="94">
                  <c:v>adc_app.o</c:v>
                </c:pt>
                <c:pt idx="95">
                  <c:v>isspace.o</c:v>
                </c:pt>
                <c:pt idx="96">
                  <c:v>exit.o</c:v>
                </c:pt>
                <c:pt idx="97">
                  <c:v>rt_ctype_table.o</c:v>
                </c:pt>
                <c:pt idx="98">
                  <c:v>_snputc.o</c:v>
                </c:pt>
                <c:pt idx="99">
                  <c:v>gd32f4xx_pmu.o</c:v>
                </c:pt>
                <c:pt idx="100">
                  <c:v>__printf_wp.o</c:v>
                </c:pt>
                <c:pt idx="101">
                  <c:v>dretinf.o</c:v>
                </c:pt>
                <c:pt idx="102">
                  <c:v>sys_exit.o</c:v>
                </c:pt>
                <c:pt idx="103">
                  <c:v>__rtentry2.o</c:v>
                </c:pt>
                <c:pt idx="104">
                  <c:v>rtc_app.o</c:v>
                </c:pt>
                <c:pt idx="105">
                  <c:v>fpinit.o</c:v>
                </c:pt>
                <c:pt idx="106">
                  <c:v>rtexit2.o</c:v>
                </c:pt>
                <c:pt idx="107">
                  <c:v>_sputc.o</c:v>
                </c:pt>
                <c:pt idx="108">
                  <c:v>_printf_ll.o</c:v>
                </c:pt>
                <c:pt idx="109">
                  <c:v>_printf_l.o</c:v>
                </c:pt>
                <c:pt idx="110">
                  <c:v>sd_app.o</c:v>
                </c:pt>
                <c:pt idx="111">
                  <c:v>rt_locale_intlibspace.o</c:v>
                </c:pt>
                <c:pt idx="112">
                  <c:v>libspace.o</c:v>
                </c:pt>
                <c:pt idx="113">
                  <c:v>__main.o</c:v>
                </c:pt>
                <c:pt idx="114">
                  <c:v>heapauxi.o</c:v>
                </c:pt>
                <c:pt idx="115">
                  <c:v>_printf_x.o</c:v>
                </c:pt>
                <c:pt idx="116">
                  <c:v>_printf_u.o</c:v>
                </c:pt>
                <c:pt idx="117">
                  <c:v>_printf_s.o</c:v>
                </c:pt>
                <c:pt idx="118">
                  <c:v>_printf_p.o</c:v>
                </c:pt>
                <c:pt idx="119">
                  <c:v>_printf_o.o</c:v>
                </c:pt>
                <c:pt idx="120">
                  <c:v>_printf_n.o</c:v>
                </c:pt>
                <c:pt idx="121">
                  <c:v>_printf_ls.o</c:v>
                </c:pt>
                <c:pt idx="122">
                  <c:v>_printf_llx.o</c:v>
                </c:pt>
                <c:pt idx="123">
                  <c:v>_printf_llu.o</c:v>
                </c:pt>
                <c:pt idx="124">
                  <c:v>_printf_llo.o</c:v>
                </c:pt>
                <c:pt idx="125">
                  <c:v>_printf_lli.o</c:v>
                </c:pt>
                <c:pt idx="126">
                  <c:v>_printf_lld.o</c:v>
                </c:pt>
                <c:pt idx="127">
                  <c:v>_printf_lc.o</c:v>
                </c:pt>
                <c:pt idx="128">
                  <c:v>_printf_i.o</c:v>
                </c:pt>
                <c:pt idx="129">
                  <c:v>_printf_g.o</c:v>
                </c:pt>
                <c:pt idx="130">
                  <c:v>_printf_f.o</c:v>
                </c:pt>
                <c:pt idx="131">
                  <c:v>_printf_e.o</c:v>
                </c:pt>
                <c:pt idx="132">
                  <c:v>_printf_d.o</c:v>
                </c:pt>
                <c:pt idx="133">
                  <c:v>_printf_c.o</c:v>
                </c:pt>
                <c:pt idx="134">
                  <c:v>_printf_a.o</c:v>
                </c:pt>
                <c:pt idx="135">
                  <c:v>__rtentry4.o</c:v>
                </c:pt>
                <c:pt idx="136">
                  <c:v>printf2.o</c:v>
                </c:pt>
                <c:pt idx="137">
                  <c:v>printf1.o</c:v>
                </c:pt>
                <c:pt idx="138">
                  <c:v>_printf_percent_end.o</c:v>
                </c:pt>
                <c:pt idx="139">
                  <c:v>use_no_semi.o</c:v>
                </c:pt>
                <c:pt idx="140">
                  <c:v>rtexit.o</c:v>
                </c:pt>
                <c:pt idx="141">
                  <c:v>libshutdown2.o</c:v>
                </c:pt>
                <c:pt idx="142">
                  <c:v>libshutdown.o</c:v>
                </c:pt>
                <c:pt idx="143">
                  <c:v>libinit.o</c:v>
                </c:pt>
                <c:pt idx="144">
                  <c:v>Totals</c:v>
                </c:pt>
              </c:strCache>
            </c:strRef>
          </c:cat>
          <c:val>
            <c:numRef>
              <c:f>flash_percent!$B$3:$B$147</c:f>
              <c:numCache>
                <c:formatCode>General</c:formatCode>
                <c:ptCount val="145"/>
                <c:pt idx="0">
                  <c:v>17.11384201049805</c:v>
                </c:pt>
                <c:pt idx="1">
                  <c:v>10.377197265625</c:v>
                </c:pt>
                <c:pt idx="2">
                  <c:v>10.00341320037842</c:v>
                </c:pt>
                <c:pt idx="3">
                  <c:v>6.605222702026367</c:v>
                </c:pt>
                <c:pt idx="4">
                  <c:v>4.441030979156494</c:v>
                </c:pt>
                <c:pt idx="5">
                  <c:v>3.635432720184326</c:v>
                </c:pt>
                <c:pt idx="6">
                  <c:v>3.304318189620972</c:v>
                </c:pt>
                <c:pt idx="7">
                  <c:v>2.908346176147461</c:v>
                </c:pt>
                <c:pt idx="8">
                  <c:v>2.904932498931885</c:v>
                </c:pt>
                <c:pt idx="9">
                  <c:v>2.778631210327148</c:v>
                </c:pt>
                <c:pt idx="10">
                  <c:v>2.693292379379273</c:v>
                </c:pt>
                <c:pt idx="11">
                  <c:v>1.798941850662231</c:v>
                </c:pt>
                <c:pt idx="12">
                  <c:v>1.508789896965027</c:v>
                </c:pt>
                <c:pt idx="13">
                  <c:v>1.368834257125855</c:v>
                </c:pt>
                <c:pt idx="14">
                  <c:v>1.351766467094421</c:v>
                </c:pt>
                <c:pt idx="15">
                  <c:v>1.269841313362122</c:v>
                </c:pt>
                <c:pt idx="16">
                  <c:v>1.263014197349548</c:v>
                </c:pt>
                <c:pt idx="17">
                  <c:v>1.198156714439392</c:v>
                </c:pt>
                <c:pt idx="18">
                  <c:v>1.146953463554382</c:v>
                </c:pt>
                <c:pt idx="19">
                  <c:v>1.000170707702637</c:v>
                </c:pt>
                <c:pt idx="20">
                  <c:v>0.979689359664917</c:v>
                </c:pt>
                <c:pt idx="21">
                  <c:v>0.9318996667861939</c:v>
                </c:pt>
                <c:pt idx="22">
                  <c:v>0.8909370303153992</c:v>
                </c:pt>
                <c:pt idx="23">
                  <c:v>0.8841099143028259</c:v>
                </c:pt>
                <c:pt idx="24">
                  <c:v>0.8397337198257446</c:v>
                </c:pt>
                <c:pt idx="25">
                  <c:v>0.8090117573738098</c:v>
                </c:pt>
                <c:pt idx="26">
                  <c:v>0.7680491805076599</c:v>
                </c:pt>
                <c:pt idx="27">
                  <c:v>0.7475678324699402</c:v>
                </c:pt>
                <c:pt idx="28">
                  <c:v>0.6980713605880737</c:v>
                </c:pt>
                <c:pt idx="29">
                  <c:v>0.6963645815849304</c:v>
                </c:pt>
                <c:pt idx="30">
                  <c:v>0.6417477130889893</c:v>
                </c:pt>
                <c:pt idx="31">
                  <c:v>0.5666496157646179</c:v>
                </c:pt>
                <c:pt idx="32">
                  <c:v>0.5393412113189697</c:v>
                </c:pt>
                <c:pt idx="33">
                  <c:v>0.4505888521671295</c:v>
                </c:pt>
                <c:pt idx="34">
                  <c:v>0.436934620141983</c:v>
                </c:pt>
                <c:pt idx="35">
                  <c:v>0.4301075339317322</c:v>
                </c:pt>
                <c:pt idx="36">
                  <c:v>0.4062126576900482</c:v>
                </c:pt>
                <c:pt idx="37">
                  <c:v>0.3481822907924652</c:v>
                </c:pt>
                <c:pt idx="38">
                  <c:v>0.3345280885696411</c:v>
                </c:pt>
                <c:pt idx="39">
                  <c:v>0.3208738565444946</c:v>
                </c:pt>
                <c:pt idx="40">
                  <c:v>0.3072196543216705</c:v>
                </c:pt>
                <c:pt idx="41">
                  <c:v>0.3038060963153839</c:v>
                </c:pt>
                <c:pt idx="42">
                  <c:v>0.3003925681114197</c:v>
                </c:pt>
                <c:pt idx="43">
                  <c:v>0.2560163736343384</c:v>
                </c:pt>
                <c:pt idx="44">
                  <c:v>0.2526028454303742</c:v>
                </c:pt>
                <c:pt idx="45">
                  <c:v>0.2526028454303742</c:v>
                </c:pt>
                <c:pt idx="46">
                  <c:v>0.2526028454303742</c:v>
                </c:pt>
                <c:pt idx="47">
                  <c:v>0.2389486283063889</c:v>
                </c:pt>
                <c:pt idx="48">
                  <c:v>0.2372418493032455</c:v>
                </c:pt>
                <c:pt idx="49">
                  <c:v>0.2355350703001022</c:v>
                </c:pt>
                <c:pt idx="50">
                  <c:v>0.2355350703001022</c:v>
                </c:pt>
                <c:pt idx="51">
                  <c:v>0.2184673100709915</c:v>
                </c:pt>
                <c:pt idx="52">
                  <c:v>0.2184673100709915</c:v>
                </c:pt>
                <c:pt idx="53">
                  <c:v>0.2116402089595795</c:v>
                </c:pt>
                <c:pt idx="54">
                  <c:v>0.208226665854454</c:v>
                </c:pt>
                <c:pt idx="55">
                  <c:v>0.2048131078481674</c:v>
                </c:pt>
                <c:pt idx="56">
                  <c:v>0.1911589056253433</c:v>
                </c:pt>
                <c:pt idx="57">
                  <c:v>0.177504688501358</c:v>
                </c:pt>
                <c:pt idx="58">
                  <c:v>0.170677587389946</c:v>
                </c:pt>
                <c:pt idx="59">
                  <c:v>0.1536098271608353</c:v>
                </c:pt>
                <c:pt idx="60">
                  <c:v>0.1501962840557098</c:v>
                </c:pt>
                <c:pt idx="61">
                  <c:v>0.1467827260494232</c:v>
                </c:pt>
                <c:pt idx="62">
                  <c:v>0.1467827260494232</c:v>
                </c:pt>
                <c:pt idx="63">
                  <c:v>0.1467827260494232</c:v>
                </c:pt>
                <c:pt idx="64">
                  <c:v>0.1399556249380112</c:v>
                </c:pt>
                <c:pt idx="65">
                  <c:v>0.1331285238265991</c:v>
                </c:pt>
                <c:pt idx="66">
                  <c:v>0.1331285238265991</c:v>
                </c:pt>
                <c:pt idx="67">
                  <c:v>0.1263014227151871</c:v>
                </c:pt>
                <c:pt idx="68">
                  <c:v>0.1228878647089005</c:v>
                </c:pt>
                <c:pt idx="69">
                  <c:v>0.1228878647089005</c:v>
                </c:pt>
                <c:pt idx="70">
                  <c:v>0.1228878647089005</c:v>
                </c:pt>
                <c:pt idx="71">
                  <c:v>0.1160607635974884</c:v>
                </c:pt>
                <c:pt idx="72">
                  <c:v>0.1092336550354958</c:v>
                </c:pt>
                <c:pt idx="73">
                  <c:v>0.1092336550354958</c:v>
                </c:pt>
                <c:pt idx="74">
                  <c:v>0.1058201044797897</c:v>
                </c:pt>
                <c:pt idx="75">
                  <c:v>0.1024065539240837</c:v>
                </c:pt>
                <c:pt idx="76">
                  <c:v>0.09216590225696564</c:v>
                </c:pt>
                <c:pt idx="77">
                  <c:v>0.08875234425067902</c:v>
                </c:pt>
                <c:pt idx="78">
                  <c:v>0.08875234425067902</c:v>
                </c:pt>
                <c:pt idx="79">
                  <c:v>0.08192524313926697</c:v>
                </c:pt>
                <c:pt idx="80">
                  <c:v>0.08192524313926697</c:v>
                </c:pt>
                <c:pt idx="81">
                  <c:v>0.08192524313926697</c:v>
                </c:pt>
                <c:pt idx="82">
                  <c:v>0.07509814202785492</c:v>
                </c:pt>
                <c:pt idx="83">
                  <c:v>0.07509814202785492</c:v>
                </c:pt>
                <c:pt idx="84">
                  <c:v>0.07509814202785492</c:v>
                </c:pt>
                <c:pt idx="85">
                  <c:v>0.07509814202785492</c:v>
                </c:pt>
                <c:pt idx="86">
                  <c:v>0.06827103346586227</c:v>
                </c:pt>
                <c:pt idx="87">
                  <c:v>0.06485748291015625</c:v>
                </c:pt>
                <c:pt idx="88">
                  <c:v>0.06144393235445023</c:v>
                </c:pt>
                <c:pt idx="89">
                  <c:v>0.06144393235445023</c:v>
                </c:pt>
                <c:pt idx="90">
                  <c:v>0.05461682751774788</c:v>
                </c:pt>
                <c:pt idx="91">
                  <c:v>0.04778972640633583</c:v>
                </c:pt>
                <c:pt idx="92">
                  <c:v>0.04778972640633583</c:v>
                </c:pt>
                <c:pt idx="93">
                  <c:v>0.03413551673293114</c:v>
                </c:pt>
                <c:pt idx="94">
                  <c:v>0.03413551673293114</c:v>
                </c:pt>
                <c:pt idx="95">
                  <c:v>0.03072196617722511</c:v>
                </c:pt>
                <c:pt idx="96">
                  <c:v>0.03072196617722511</c:v>
                </c:pt>
                <c:pt idx="97">
                  <c:v>0.02730841375887394</c:v>
                </c:pt>
                <c:pt idx="98">
                  <c:v>0.02730841375887394</c:v>
                </c:pt>
                <c:pt idx="99">
                  <c:v>0.02730841375887394</c:v>
                </c:pt>
                <c:pt idx="100">
                  <c:v>0.02389486320316792</c:v>
                </c:pt>
                <c:pt idx="101">
                  <c:v>0.02048131078481674</c:v>
                </c:pt>
                <c:pt idx="102">
                  <c:v>0.02048131078481674</c:v>
                </c:pt>
                <c:pt idx="103">
                  <c:v>0.02048131078481674</c:v>
                </c:pt>
                <c:pt idx="104">
                  <c:v>0.02048131078481674</c:v>
                </c:pt>
                <c:pt idx="105">
                  <c:v>0.01706775836646557</c:v>
                </c:pt>
                <c:pt idx="106">
                  <c:v>0.01706775836646557</c:v>
                </c:pt>
                <c:pt idx="107">
                  <c:v>0.01706775836646557</c:v>
                </c:pt>
                <c:pt idx="108">
                  <c:v>0.01706775836646557</c:v>
                </c:pt>
                <c:pt idx="109">
                  <c:v>0.01706775836646557</c:v>
                </c:pt>
                <c:pt idx="110">
                  <c:v>0.01706775836646557</c:v>
                </c:pt>
                <c:pt idx="111">
                  <c:v>0.01365420687943697</c:v>
                </c:pt>
                <c:pt idx="112">
                  <c:v>0.01365420687943697</c:v>
                </c:pt>
                <c:pt idx="113">
                  <c:v>0.01365420687943697</c:v>
                </c:pt>
                <c:pt idx="114">
                  <c:v>0.01024065539240837</c:v>
                </c:pt>
                <c:pt idx="115">
                  <c:v>0.01024065539240837</c:v>
                </c:pt>
                <c:pt idx="116">
                  <c:v>0.01024065539240837</c:v>
                </c:pt>
                <c:pt idx="117">
                  <c:v>0.01024065539240837</c:v>
                </c:pt>
                <c:pt idx="118">
                  <c:v>0.01024065539240837</c:v>
                </c:pt>
                <c:pt idx="119">
                  <c:v>0.01024065539240837</c:v>
                </c:pt>
                <c:pt idx="120">
                  <c:v>0.01024065539240837</c:v>
                </c:pt>
                <c:pt idx="121">
                  <c:v>0.01024065539240837</c:v>
                </c:pt>
                <c:pt idx="122">
                  <c:v>0.01024065539240837</c:v>
                </c:pt>
                <c:pt idx="123">
                  <c:v>0.01024065539240837</c:v>
                </c:pt>
                <c:pt idx="124">
                  <c:v>0.01024065539240837</c:v>
                </c:pt>
                <c:pt idx="125">
                  <c:v>0.01024065539240837</c:v>
                </c:pt>
                <c:pt idx="126">
                  <c:v>0.01024065539240837</c:v>
                </c:pt>
                <c:pt idx="127">
                  <c:v>0.01024065539240837</c:v>
                </c:pt>
                <c:pt idx="128">
                  <c:v>0.01024065539240837</c:v>
                </c:pt>
                <c:pt idx="129">
                  <c:v>0.01024065539240837</c:v>
                </c:pt>
                <c:pt idx="130">
                  <c:v>0.01024065539240837</c:v>
                </c:pt>
                <c:pt idx="131">
                  <c:v>0.01024065539240837</c:v>
                </c:pt>
                <c:pt idx="132">
                  <c:v>0.01024065539240837</c:v>
                </c:pt>
                <c:pt idx="133">
                  <c:v>0.01024065539240837</c:v>
                </c:pt>
                <c:pt idx="134">
                  <c:v>0.01024065539240837</c:v>
                </c:pt>
                <c:pt idx="135">
                  <c:v>0.01024065539240837</c:v>
                </c:pt>
                <c:pt idx="136">
                  <c:v>0.006827103439718485</c:v>
                </c:pt>
                <c:pt idx="137">
                  <c:v>0.006827103439718485</c:v>
                </c:pt>
                <c:pt idx="138">
                  <c:v>0.006827103439718485</c:v>
                </c:pt>
                <c:pt idx="139">
                  <c:v>0.003413551719859242</c:v>
                </c:pt>
                <c:pt idx="140">
                  <c:v>0.003413551719859242</c:v>
                </c:pt>
                <c:pt idx="141">
                  <c:v>0.003413551719859242</c:v>
                </c:pt>
                <c:pt idx="142">
                  <c:v>0.003413551719859242</c:v>
                </c:pt>
                <c:pt idx="143">
                  <c:v>0.003413551719859242</c:v>
                </c:pt>
                <c:pt idx="14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7" totalsRowCount="1">
  <autoFilter ref="A2:H14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7" totalsRowCount="1">
  <autoFilter ref="A2:H14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145</v>
      </c>
      <c r="B2" t="s">
        <v>147</v>
      </c>
      <c r="C2" t="s">
        <v>148</v>
      </c>
      <c r="D2" t="s">
        <v>149</v>
      </c>
      <c r="E2" t="s">
        <v>150</v>
      </c>
      <c r="F2" t="s">
        <v>151</v>
      </c>
      <c r="G2" t="s">
        <v>152</v>
      </c>
      <c r="H2" t="s">
        <v>153</v>
      </c>
    </row>
    <row r="3" spans="1:8">
      <c r="A3" s="1" t="s">
        <v>1</v>
      </c>
      <c r="B3" s="2">
        <v>33.57927703857422</v>
      </c>
      <c r="C3" s="1">
        <v>2048</v>
      </c>
      <c r="D3" s="1">
        <v>492</v>
      </c>
      <c r="E3" s="1">
        <v>64</v>
      </c>
      <c r="F3" s="1">
        <v>428</v>
      </c>
      <c r="G3" s="1">
        <v>0</v>
      </c>
      <c r="H3" s="1">
        <v>2048</v>
      </c>
    </row>
    <row r="4" spans="1:8">
      <c r="A4" s="1" t="s">
        <v>2</v>
      </c>
      <c r="B4" s="2">
        <v>27.28316116333008</v>
      </c>
      <c r="C4" s="1">
        <v>1664</v>
      </c>
      <c r="D4" s="1">
        <v>2602</v>
      </c>
      <c r="E4" s="1">
        <v>2594</v>
      </c>
      <c r="F4" s="1">
        <v>0</v>
      </c>
      <c r="G4" s="1">
        <v>8</v>
      </c>
      <c r="H4" s="1">
        <v>1656</v>
      </c>
    </row>
    <row r="5" spans="1:8">
      <c r="A5" s="1" t="s">
        <v>3</v>
      </c>
      <c r="B5" s="2">
        <v>9.476963043212891</v>
      </c>
      <c r="C5" s="1">
        <v>578</v>
      </c>
      <c r="D5" s="1">
        <v>1578</v>
      </c>
      <c r="E5" s="1">
        <v>1556</v>
      </c>
      <c r="F5" s="1">
        <v>0</v>
      </c>
      <c r="G5" s="1">
        <v>22</v>
      </c>
      <c r="H5" s="1">
        <v>556</v>
      </c>
    </row>
    <row r="6" spans="1:8">
      <c r="A6" s="1" t="s">
        <v>4</v>
      </c>
      <c r="B6" s="2">
        <v>9.313002586364746</v>
      </c>
      <c r="C6" s="1">
        <v>568</v>
      </c>
      <c r="D6" s="1">
        <v>2130</v>
      </c>
      <c r="E6" s="1">
        <v>2090</v>
      </c>
      <c r="F6" s="1">
        <v>32</v>
      </c>
      <c r="G6" s="1">
        <v>8</v>
      </c>
      <c r="H6" s="1">
        <v>560</v>
      </c>
    </row>
    <row r="7" spans="1:8">
      <c r="A7" s="1" t="s">
        <v>5</v>
      </c>
      <c r="B7" s="2">
        <v>8.460403442382813</v>
      </c>
      <c r="C7" s="1">
        <v>516</v>
      </c>
      <c r="D7" s="1">
        <v>180</v>
      </c>
      <c r="E7" s="1">
        <v>176</v>
      </c>
      <c r="F7" s="1">
        <v>0</v>
      </c>
      <c r="G7" s="1">
        <v>4</v>
      </c>
      <c r="H7" s="1">
        <v>512</v>
      </c>
    </row>
    <row r="8" spans="1:8">
      <c r="A8" s="1" t="s">
        <v>6</v>
      </c>
      <c r="B8" s="2">
        <v>3.21364164352417</v>
      </c>
      <c r="C8" s="1">
        <v>196</v>
      </c>
      <c r="D8" s="1">
        <v>792</v>
      </c>
      <c r="E8" s="1">
        <v>582</v>
      </c>
      <c r="F8" s="1">
        <v>14</v>
      </c>
      <c r="G8" s="1">
        <v>196</v>
      </c>
      <c r="H8" s="1">
        <v>0</v>
      </c>
    </row>
    <row r="9" spans="1:8">
      <c r="A9" s="1" t="s">
        <v>7</v>
      </c>
      <c r="B9" s="2">
        <v>1.574028491973877</v>
      </c>
      <c r="C9" s="1">
        <v>96</v>
      </c>
      <c r="D9" s="1">
        <v>10027</v>
      </c>
      <c r="E9" s="1">
        <v>9476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1.574028491973877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1.311690449714661</v>
      </c>
      <c r="C11" s="1">
        <v>80</v>
      </c>
      <c r="D11" s="1">
        <v>744</v>
      </c>
      <c r="E11" s="1">
        <v>660</v>
      </c>
      <c r="F11" s="1">
        <v>4</v>
      </c>
      <c r="G11" s="1">
        <v>80</v>
      </c>
      <c r="H11" s="1">
        <v>0</v>
      </c>
    </row>
    <row r="12" spans="1:8">
      <c r="A12" s="1" t="s">
        <v>10</v>
      </c>
      <c r="B12" s="2">
        <v>1.246105909347534</v>
      </c>
      <c r="C12" s="1">
        <v>76</v>
      </c>
      <c r="D12" s="1">
        <v>148</v>
      </c>
      <c r="E12" s="1">
        <v>72</v>
      </c>
      <c r="F12" s="1">
        <v>0</v>
      </c>
      <c r="G12" s="1">
        <v>76</v>
      </c>
      <c r="H12" s="1">
        <v>0</v>
      </c>
    </row>
    <row r="13" spans="1:8">
      <c r="A13" s="1" t="s">
        <v>11</v>
      </c>
      <c r="B13" s="2">
        <v>1.049352407455444</v>
      </c>
      <c r="C13" s="1">
        <v>64</v>
      </c>
      <c r="D13" s="1">
        <v>6080</v>
      </c>
      <c r="E13" s="1">
        <v>6048</v>
      </c>
      <c r="F13" s="1">
        <v>0</v>
      </c>
      <c r="G13" s="1">
        <v>32</v>
      </c>
      <c r="H13" s="1">
        <v>32</v>
      </c>
    </row>
    <row r="14" spans="1:8">
      <c r="A14" s="1" t="s">
        <v>12</v>
      </c>
      <c r="B14" s="2">
        <v>0.9837678074836731</v>
      </c>
      <c r="C14" s="1">
        <v>60</v>
      </c>
      <c r="D14" s="1">
        <v>1702</v>
      </c>
      <c r="E14" s="1">
        <v>1702</v>
      </c>
      <c r="F14" s="1">
        <v>0</v>
      </c>
      <c r="G14" s="1">
        <v>0</v>
      </c>
      <c r="H14" s="1">
        <v>60</v>
      </c>
    </row>
    <row r="15" spans="1:8">
      <c r="A15" s="1" t="s">
        <v>13</v>
      </c>
      <c r="B15" s="2">
        <v>0.3607148826122284</v>
      </c>
      <c r="C15" s="1">
        <v>22</v>
      </c>
      <c r="D15" s="1">
        <v>3870</v>
      </c>
      <c r="E15" s="1">
        <v>1136</v>
      </c>
      <c r="F15" s="1">
        <v>2712</v>
      </c>
      <c r="G15" s="1">
        <v>22</v>
      </c>
      <c r="H15" s="1">
        <v>0</v>
      </c>
    </row>
    <row r="16" spans="1:8">
      <c r="A16" s="1" t="s">
        <v>14</v>
      </c>
      <c r="B16" s="2">
        <v>0.1967535614967346</v>
      </c>
      <c r="C16" s="1">
        <v>12</v>
      </c>
      <c r="D16" s="1">
        <v>672</v>
      </c>
      <c r="E16" s="1">
        <v>660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0.1311690509319305</v>
      </c>
      <c r="C17" s="1">
        <v>8</v>
      </c>
      <c r="D17" s="1">
        <v>5861</v>
      </c>
      <c r="E17" s="1">
        <v>5840</v>
      </c>
      <c r="F17" s="1">
        <v>13</v>
      </c>
      <c r="G17" s="1">
        <v>8</v>
      </c>
      <c r="H17" s="1">
        <v>0</v>
      </c>
    </row>
    <row r="18" spans="1:8">
      <c r="A18" s="1" t="s">
        <v>16</v>
      </c>
      <c r="B18" s="2">
        <v>0.1147729158401489</v>
      </c>
      <c r="C18" s="1">
        <v>7</v>
      </c>
      <c r="D18" s="1">
        <v>139</v>
      </c>
      <c r="E18" s="1">
        <v>132</v>
      </c>
      <c r="F18" s="1">
        <v>0</v>
      </c>
      <c r="G18" s="1">
        <v>7</v>
      </c>
      <c r="H18" s="1">
        <v>0</v>
      </c>
    </row>
    <row r="19" spans="1:8">
      <c r="A19" s="1" t="s">
        <v>17</v>
      </c>
      <c r="B19" s="2">
        <v>0.06558452546596527</v>
      </c>
      <c r="C19" s="1">
        <v>4</v>
      </c>
      <c r="D19" s="1">
        <v>148</v>
      </c>
      <c r="E19" s="1">
        <v>144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0.06558452546596527</v>
      </c>
      <c r="C20" s="1">
        <v>4</v>
      </c>
      <c r="D20" s="1">
        <v>518</v>
      </c>
      <c r="E20" s="1">
        <v>514</v>
      </c>
      <c r="F20" s="1">
        <v>0</v>
      </c>
      <c r="G20" s="1">
        <v>4</v>
      </c>
      <c r="H20" s="1">
        <v>0</v>
      </c>
    </row>
    <row r="147" spans="1:8">
      <c r="A147" t="s">
        <v>146</v>
      </c>
      <c r="B147">
        <f>SUBTOTAL(109,[ram_percent])</f>
        <v>0</v>
      </c>
      <c r="C147">
        <f>SUBTOTAL(109,[ram])</f>
        <v>0</v>
      </c>
      <c r="D147">
        <f>SUBTOTAL(109,[flash])</f>
        <v>0</v>
      </c>
      <c r="E147">
        <f>SUBTOTAL(109,[Code])</f>
        <v>0</v>
      </c>
      <c r="F147">
        <f>SUBTOTAL(109,[RO_data])</f>
        <v>0</v>
      </c>
      <c r="G147">
        <f>SUBTOTAL(109,[RW_data])</f>
        <v>0</v>
      </c>
      <c r="H14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145</v>
      </c>
      <c r="B2" t="s">
        <v>154</v>
      </c>
      <c r="C2" t="s">
        <v>149</v>
      </c>
      <c r="D2" t="s">
        <v>148</v>
      </c>
      <c r="E2" t="s">
        <v>150</v>
      </c>
      <c r="F2" t="s">
        <v>151</v>
      </c>
      <c r="G2" t="s">
        <v>152</v>
      </c>
      <c r="H2" t="s">
        <v>153</v>
      </c>
    </row>
    <row r="3" spans="1:8">
      <c r="A3" s="1" t="s">
        <v>7</v>
      </c>
      <c r="B3" s="2">
        <v>17.11384201049805</v>
      </c>
      <c r="C3" s="1">
        <v>10027</v>
      </c>
      <c r="D3" s="1">
        <v>96</v>
      </c>
      <c r="E3" s="1">
        <v>9476</v>
      </c>
      <c r="F3" s="1">
        <v>551</v>
      </c>
      <c r="G3" s="1">
        <v>0</v>
      </c>
      <c r="H3" s="1">
        <v>96</v>
      </c>
    </row>
    <row r="4" spans="1:8">
      <c r="A4" s="1" t="s">
        <v>11</v>
      </c>
      <c r="B4" s="2">
        <v>10.377197265625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15</v>
      </c>
      <c r="B5" s="2">
        <v>10.00341320037842</v>
      </c>
      <c r="C5" s="1">
        <v>5861</v>
      </c>
      <c r="D5" s="1">
        <v>8</v>
      </c>
      <c r="E5" s="1">
        <v>5840</v>
      </c>
      <c r="F5" s="1">
        <v>13</v>
      </c>
      <c r="G5" s="1">
        <v>8</v>
      </c>
      <c r="H5" s="1">
        <v>0</v>
      </c>
    </row>
    <row r="6" spans="1:8">
      <c r="A6" s="1" t="s">
        <v>13</v>
      </c>
      <c r="B6" s="2">
        <v>6.605222702026367</v>
      </c>
      <c r="C6" s="1">
        <v>3870</v>
      </c>
      <c r="D6" s="1">
        <v>22</v>
      </c>
      <c r="E6" s="1">
        <v>1136</v>
      </c>
      <c r="F6" s="1">
        <v>2712</v>
      </c>
      <c r="G6" s="1">
        <v>22</v>
      </c>
      <c r="H6" s="1">
        <v>0</v>
      </c>
    </row>
    <row r="7" spans="1:8">
      <c r="A7" s="1" t="s">
        <v>2</v>
      </c>
      <c r="B7" s="2">
        <v>4.441030979156494</v>
      </c>
      <c r="C7" s="1">
        <v>2602</v>
      </c>
      <c r="D7" s="1">
        <v>1664</v>
      </c>
      <c r="E7" s="1">
        <v>2594</v>
      </c>
      <c r="F7" s="1">
        <v>0</v>
      </c>
      <c r="G7" s="1">
        <v>8</v>
      </c>
      <c r="H7" s="1">
        <v>1656</v>
      </c>
    </row>
    <row r="8" spans="1:8">
      <c r="A8" s="1" t="s">
        <v>4</v>
      </c>
      <c r="B8" s="2">
        <v>3.635432720184326</v>
      </c>
      <c r="C8" s="1">
        <v>2130</v>
      </c>
      <c r="D8" s="1">
        <v>568</v>
      </c>
      <c r="E8" s="1">
        <v>2090</v>
      </c>
      <c r="F8" s="1">
        <v>32</v>
      </c>
      <c r="G8" s="1">
        <v>8</v>
      </c>
      <c r="H8" s="1">
        <v>560</v>
      </c>
    </row>
    <row r="9" spans="1:8">
      <c r="A9" s="1" t="s">
        <v>19</v>
      </c>
      <c r="B9" s="2">
        <v>3.304318189620972</v>
      </c>
      <c r="C9" s="1">
        <v>1936</v>
      </c>
      <c r="D9" s="1">
        <v>0</v>
      </c>
      <c r="E9" s="1">
        <v>1936</v>
      </c>
      <c r="F9" s="1">
        <v>0</v>
      </c>
      <c r="G9" s="1">
        <v>0</v>
      </c>
      <c r="H9" s="1">
        <v>0</v>
      </c>
    </row>
    <row r="10" spans="1:8">
      <c r="A10" s="1" t="s">
        <v>20</v>
      </c>
      <c r="B10" s="2">
        <v>2.908346176147461</v>
      </c>
      <c r="C10" s="1">
        <v>1704</v>
      </c>
      <c r="D10" s="1">
        <v>0</v>
      </c>
      <c r="E10" s="1">
        <v>1704</v>
      </c>
      <c r="F10" s="1">
        <v>0</v>
      </c>
      <c r="G10" s="1">
        <v>0</v>
      </c>
      <c r="H10" s="1">
        <v>0</v>
      </c>
    </row>
    <row r="11" spans="1:8">
      <c r="A11" s="1" t="s">
        <v>12</v>
      </c>
      <c r="B11" s="2">
        <v>2.904932498931885</v>
      </c>
      <c r="C11" s="1">
        <v>1702</v>
      </c>
      <c r="D11" s="1">
        <v>60</v>
      </c>
      <c r="E11" s="1">
        <v>1702</v>
      </c>
      <c r="F11" s="1">
        <v>0</v>
      </c>
      <c r="G11" s="1">
        <v>0</v>
      </c>
      <c r="H11" s="1">
        <v>60</v>
      </c>
    </row>
    <row r="12" spans="1:8">
      <c r="A12" s="1" t="s">
        <v>21</v>
      </c>
      <c r="B12" s="2">
        <v>2.778631210327148</v>
      </c>
      <c r="C12" s="1">
        <v>1628</v>
      </c>
      <c r="D12" s="1">
        <v>0</v>
      </c>
      <c r="E12" s="1">
        <v>1628</v>
      </c>
      <c r="F12" s="1">
        <v>0</v>
      </c>
      <c r="G12" s="1">
        <v>0</v>
      </c>
      <c r="H12" s="1">
        <v>0</v>
      </c>
    </row>
    <row r="13" spans="1:8">
      <c r="A13" s="1" t="s">
        <v>3</v>
      </c>
      <c r="B13" s="2">
        <v>2.693292379379273</v>
      </c>
      <c r="C13" s="1">
        <v>1578</v>
      </c>
      <c r="D13" s="1">
        <v>578</v>
      </c>
      <c r="E13" s="1">
        <v>1556</v>
      </c>
      <c r="F13" s="1">
        <v>0</v>
      </c>
      <c r="G13" s="1">
        <v>22</v>
      </c>
      <c r="H13" s="1">
        <v>556</v>
      </c>
    </row>
    <row r="14" spans="1:8">
      <c r="A14" s="1" t="s">
        <v>22</v>
      </c>
      <c r="B14" s="2">
        <v>1.798941850662231</v>
      </c>
      <c r="C14" s="1">
        <v>1054</v>
      </c>
      <c r="D14" s="1">
        <v>0</v>
      </c>
      <c r="E14" s="1">
        <v>1054</v>
      </c>
      <c r="F14" s="1">
        <v>0</v>
      </c>
      <c r="G14" s="1">
        <v>0</v>
      </c>
      <c r="H14" s="1">
        <v>0</v>
      </c>
    </row>
    <row r="15" spans="1:8">
      <c r="A15" s="1" t="s">
        <v>23</v>
      </c>
      <c r="B15" s="2">
        <v>1.508789896965027</v>
      </c>
      <c r="C15" s="1">
        <v>884</v>
      </c>
      <c r="D15" s="1">
        <v>0</v>
      </c>
      <c r="E15" s="1">
        <v>884</v>
      </c>
      <c r="F15" s="1">
        <v>0</v>
      </c>
      <c r="G15" s="1">
        <v>0</v>
      </c>
      <c r="H15" s="1">
        <v>0</v>
      </c>
    </row>
    <row r="16" spans="1:8">
      <c r="A16" s="1" t="s">
        <v>24</v>
      </c>
      <c r="B16" s="2">
        <v>1.368834257125855</v>
      </c>
      <c r="C16" s="1">
        <v>802</v>
      </c>
      <c r="D16" s="1">
        <v>0</v>
      </c>
      <c r="E16" s="1">
        <v>764</v>
      </c>
      <c r="F16" s="1">
        <v>38</v>
      </c>
      <c r="G16" s="1">
        <v>0</v>
      </c>
      <c r="H16" s="1">
        <v>0</v>
      </c>
    </row>
    <row r="17" spans="1:8">
      <c r="A17" s="1" t="s">
        <v>6</v>
      </c>
      <c r="B17" s="2">
        <v>1.351766467094421</v>
      </c>
      <c r="C17" s="1">
        <v>792</v>
      </c>
      <c r="D17" s="1">
        <v>196</v>
      </c>
      <c r="E17" s="1">
        <v>582</v>
      </c>
      <c r="F17" s="1">
        <v>14</v>
      </c>
      <c r="G17" s="1">
        <v>196</v>
      </c>
      <c r="H17" s="1">
        <v>0</v>
      </c>
    </row>
    <row r="18" spans="1:8">
      <c r="A18" s="1" t="s">
        <v>9</v>
      </c>
      <c r="B18" s="2">
        <v>1.269841313362122</v>
      </c>
      <c r="C18" s="1">
        <v>744</v>
      </c>
      <c r="D18" s="1">
        <v>80</v>
      </c>
      <c r="E18" s="1">
        <v>660</v>
      </c>
      <c r="F18" s="1">
        <v>4</v>
      </c>
      <c r="G18" s="1">
        <v>80</v>
      </c>
      <c r="H18" s="1">
        <v>0</v>
      </c>
    </row>
    <row r="19" spans="1:8">
      <c r="A19" s="1" t="s">
        <v>25</v>
      </c>
      <c r="B19" s="2">
        <v>1.263014197349548</v>
      </c>
      <c r="C19" s="1">
        <v>740</v>
      </c>
      <c r="D19" s="1">
        <v>0</v>
      </c>
      <c r="E19" s="1">
        <v>740</v>
      </c>
      <c r="F19" s="1">
        <v>0</v>
      </c>
      <c r="G19" s="1">
        <v>0</v>
      </c>
      <c r="H19" s="1">
        <v>0</v>
      </c>
    </row>
    <row r="20" spans="1:8">
      <c r="A20" s="1" t="s">
        <v>26</v>
      </c>
      <c r="B20" s="2">
        <v>1.198156714439392</v>
      </c>
      <c r="C20" s="1">
        <v>702</v>
      </c>
      <c r="D20" s="1">
        <v>0</v>
      </c>
      <c r="E20" s="1">
        <v>702</v>
      </c>
      <c r="F20" s="1">
        <v>0</v>
      </c>
      <c r="G20" s="1">
        <v>0</v>
      </c>
      <c r="H20" s="1">
        <v>0</v>
      </c>
    </row>
    <row r="21" spans="1:8">
      <c r="A21" s="1" t="s">
        <v>14</v>
      </c>
      <c r="B21" s="2">
        <v>1.146953463554382</v>
      </c>
      <c r="C21" s="1">
        <v>672</v>
      </c>
      <c r="D21" s="1">
        <v>12</v>
      </c>
      <c r="E21" s="1">
        <v>660</v>
      </c>
      <c r="F21" s="1">
        <v>0</v>
      </c>
      <c r="G21" s="1">
        <v>12</v>
      </c>
      <c r="H21" s="1">
        <v>0</v>
      </c>
    </row>
    <row r="22" spans="1:8">
      <c r="A22" s="1" t="s">
        <v>27</v>
      </c>
      <c r="B22" s="2">
        <v>1.000170707702637</v>
      </c>
      <c r="C22" s="1">
        <v>586</v>
      </c>
      <c r="D22" s="1">
        <v>0</v>
      </c>
      <c r="E22" s="1">
        <v>586</v>
      </c>
      <c r="F22" s="1">
        <v>0</v>
      </c>
      <c r="G22" s="1">
        <v>0</v>
      </c>
      <c r="H22" s="1">
        <v>0</v>
      </c>
    </row>
    <row r="23" spans="1:8">
      <c r="A23" s="1" t="s">
        <v>28</v>
      </c>
      <c r="B23" s="2">
        <v>0.979689359664917</v>
      </c>
      <c r="C23" s="1">
        <v>574</v>
      </c>
      <c r="D23" s="1">
        <v>0</v>
      </c>
      <c r="E23" s="1">
        <v>574</v>
      </c>
      <c r="F23" s="1">
        <v>0</v>
      </c>
      <c r="G23" s="1">
        <v>0</v>
      </c>
      <c r="H23" s="1">
        <v>0</v>
      </c>
    </row>
    <row r="24" spans="1:8">
      <c r="A24" s="1" t="s">
        <v>29</v>
      </c>
      <c r="B24" s="2">
        <v>0.9318996667861939</v>
      </c>
      <c r="C24" s="1">
        <v>546</v>
      </c>
      <c r="D24" s="1">
        <v>0</v>
      </c>
      <c r="E24" s="1">
        <v>546</v>
      </c>
      <c r="F24" s="1">
        <v>0</v>
      </c>
      <c r="G24" s="1">
        <v>0</v>
      </c>
      <c r="H24" s="1">
        <v>0</v>
      </c>
    </row>
    <row r="25" spans="1:8">
      <c r="A25" s="1" t="s">
        <v>30</v>
      </c>
      <c r="B25" s="2">
        <v>0.8909370303153992</v>
      </c>
      <c r="C25" s="1">
        <v>522</v>
      </c>
      <c r="D25" s="1">
        <v>0</v>
      </c>
      <c r="E25" s="1">
        <v>522</v>
      </c>
      <c r="F25" s="1">
        <v>0</v>
      </c>
      <c r="G25" s="1">
        <v>0</v>
      </c>
      <c r="H25" s="1">
        <v>0</v>
      </c>
    </row>
    <row r="26" spans="1:8">
      <c r="A26" s="1" t="s">
        <v>18</v>
      </c>
      <c r="B26" s="2">
        <v>0.8841099143028259</v>
      </c>
      <c r="C26" s="1">
        <v>518</v>
      </c>
      <c r="D26" s="1">
        <v>4</v>
      </c>
      <c r="E26" s="1">
        <v>514</v>
      </c>
      <c r="F26" s="1">
        <v>0</v>
      </c>
      <c r="G26" s="1">
        <v>4</v>
      </c>
      <c r="H26" s="1">
        <v>0</v>
      </c>
    </row>
    <row r="27" spans="1:8">
      <c r="A27" s="1" t="s">
        <v>1</v>
      </c>
      <c r="B27" s="2">
        <v>0.8397337198257446</v>
      </c>
      <c r="C27" s="1">
        <v>492</v>
      </c>
      <c r="D27" s="1">
        <v>2048</v>
      </c>
      <c r="E27" s="1">
        <v>64</v>
      </c>
      <c r="F27" s="1">
        <v>428</v>
      </c>
      <c r="G27" s="1">
        <v>0</v>
      </c>
      <c r="H27" s="1">
        <v>2048</v>
      </c>
    </row>
    <row r="28" spans="1:8">
      <c r="A28" s="1" t="s">
        <v>31</v>
      </c>
      <c r="B28" s="2">
        <v>0.8090117573738098</v>
      </c>
      <c r="C28" s="1">
        <v>474</v>
      </c>
      <c r="D28" s="1">
        <v>0</v>
      </c>
      <c r="E28" s="1">
        <v>474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0.7680491805076599</v>
      </c>
      <c r="C29" s="1">
        <v>450</v>
      </c>
      <c r="D29" s="1">
        <v>0</v>
      </c>
      <c r="E29" s="1">
        <v>74</v>
      </c>
      <c r="F29" s="1">
        <v>376</v>
      </c>
      <c r="G29" s="1">
        <v>0</v>
      </c>
      <c r="H29" s="1">
        <v>0</v>
      </c>
    </row>
    <row r="30" spans="1:8">
      <c r="A30" s="1" t="s">
        <v>33</v>
      </c>
      <c r="B30" s="2">
        <v>0.7475678324699402</v>
      </c>
      <c r="C30" s="1">
        <v>438</v>
      </c>
      <c r="D30" s="1">
        <v>0</v>
      </c>
      <c r="E30" s="1">
        <v>438</v>
      </c>
      <c r="F30" s="1">
        <v>0</v>
      </c>
      <c r="G30" s="1">
        <v>0</v>
      </c>
      <c r="H30" s="1">
        <v>0</v>
      </c>
    </row>
    <row r="31" spans="1:8">
      <c r="A31" s="1" t="s">
        <v>34</v>
      </c>
      <c r="B31" s="2">
        <v>0.6980713605880737</v>
      </c>
      <c r="C31" s="1">
        <v>409</v>
      </c>
      <c r="D31" s="1">
        <v>0</v>
      </c>
      <c r="E31" s="1">
        <v>392</v>
      </c>
      <c r="F31" s="1">
        <v>17</v>
      </c>
      <c r="G31" s="1">
        <v>0</v>
      </c>
      <c r="H31" s="1">
        <v>0</v>
      </c>
    </row>
    <row r="32" spans="1:8">
      <c r="A32" s="1" t="s">
        <v>35</v>
      </c>
      <c r="B32" s="2">
        <v>0.6963645815849304</v>
      </c>
      <c r="C32" s="1">
        <v>408</v>
      </c>
      <c r="D32" s="1">
        <v>0</v>
      </c>
      <c r="E32" s="1">
        <v>408</v>
      </c>
      <c r="F32" s="1">
        <v>0</v>
      </c>
      <c r="G32" s="1">
        <v>0</v>
      </c>
      <c r="H32" s="1">
        <v>0</v>
      </c>
    </row>
    <row r="33" spans="1:8">
      <c r="A33" s="1" t="s">
        <v>36</v>
      </c>
      <c r="B33" s="2">
        <v>0.6417477130889893</v>
      </c>
      <c r="C33" s="1">
        <v>376</v>
      </c>
      <c r="D33" s="1">
        <v>0</v>
      </c>
      <c r="E33" s="1">
        <v>228</v>
      </c>
      <c r="F33" s="1">
        <v>148</v>
      </c>
      <c r="G33" s="1">
        <v>0</v>
      </c>
      <c r="H33" s="1">
        <v>0</v>
      </c>
    </row>
    <row r="34" spans="1:8">
      <c r="A34" s="1" t="s">
        <v>37</v>
      </c>
      <c r="B34" s="2">
        <v>0.5666496157646179</v>
      </c>
      <c r="C34" s="1">
        <v>332</v>
      </c>
      <c r="D34" s="1">
        <v>0</v>
      </c>
      <c r="E34" s="1">
        <v>332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0.5393412113189697</v>
      </c>
      <c r="C35" s="1">
        <v>316</v>
      </c>
      <c r="D35" s="1">
        <v>0</v>
      </c>
      <c r="E35" s="1">
        <v>44</v>
      </c>
      <c r="F35" s="1">
        <v>272</v>
      </c>
      <c r="G35" s="1">
        <v>0</v>
      </c>
      <c r="H35" s="1">
        <v>0</v>
      </c>
    </row>
    <row r="36" spans="1:8">
      <c r="A36" s="1" t="s">
        <v>39</v>
      </c>
      <c r="B36" s="2">
        <v>0.4505888521671295</v>
      </c>
      <c r="C36" s="1">
        <v>264</v>
      </c>
      <c r="D36" s="1">
        <v>0</v>
      </c>
      <c r="E36" s="1">
        <v>264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0.436934620141983</v>
      </c>
      <c r="C37" s="1">
        <v>256</v>
      </c>
      <c r="D37" s="1">
        <v>0</v>
      </c>
      <c r="E37" s="1">
        <v>256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0.4301075339317322</v>
      </c>
      <c r="C38" s="1">
        <v>252</v>
      </c>
      <c r="D38" s="1">
        <v>0</v>
      </c>
      <c r="E38" s="1">
        <v>252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0.4062126576900482</v>
      </c>
      <c r="C39" s="1">
        <v>238</v>
      </c>
      <c r="D39" s="1">
        <v>0</v>
      </c>
      <c r="E39" s="1">
        <v>238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0.3481822907924652</v>
      </c>
      <c r="C40" s="1">
        <v>204</v>
      </c>
      <c r="D40" s="1">
        <v>0</v>
      </c>
      <c r="E40" s="1">
        <v>204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0.3345280885696411</v>
      </c>
      <c r="C41" s="1">
        <v>196</v>
      </c>
      <c r="D41" s="1">
        <v>0</v>
      </c>
      <c r="E41" s="1">
        <v>188</v>
      </c>
      <c r="F41" s="1">
        <v>8</v>
      </c>
      <c r="G41" s="1">
        <v>0</v>
      </c>
      <c r="H41" s="1">
        <v>0</v>
      </c>
    </row>
    <row r="42" spans="1:8">
      <c r="A42" s="1" t="s">
        <v>45</v>
      </c>
      <c r="B42" s="2">
        <v>0.3208738565444946</v>
      </c>
      <c r="C42" s="1">
        <v>188</v>
      </c>
      <c r="D42" s="1">
        <v>0</v>
      </c>
      <c r="E42" s="1">
        <v>148</v>
      </c>
      <c r="F42" s="1">
        <v>40</v>
      </c>
      <c r="G42" s="1">
        <v>0</v>
      </c>
      <c r="H42" s="1">
        <v>0</v>
      </c>
    </row>
    <row r="43" spans="1:8">
      <c r="A43" s="1" t="s">
        <v>5</v>
      </c>
      <c r="B43" s="2">
        <v>0.3072196543216705</v>
      </c>
      <c r="C43" s="1">
        <v>180</v>
      </c>
      <c r="D43" s="1">
        <v>516</v>
      </c>
      <c r="E43" s="1">
        <v>176</v>
      </c>
      <c r="F43" s="1">
        <v>0</v>
      </c>
      <c r="G43" s="1">
        <v>4</v>
      </c>
      <c r="H43" s="1">
        <v>512</v>
      </c>
    </row>
    <row r="44" spans="1:8">
      <c r="A44" s="1" t="s">
        <v>46</v>
      </c>
      <c r="B44" s="2">
        <v>0.3038060963153839</v>
      </c>
      <c r="C44" s="1">
        <v>178</v>
      </c>
      <c r="D44" s="1">
        <v>0</v>
      </c>
      <c r="E44" s="1">
        <v>178</v>
      </c>
      <c r="F44" s="1">
        <v>0</v>
      </c>
      <c r="G44" s="1">
        <v>0</v>
      </c>
      <c r="H44" s="1">
        <v>0</v>
      </c>
    </row>
    <row r="45" spans="1:8">
      <c r="A45" s="1" t="s">
        <v>47</v>
      </c>
      <c r="B45" s="2">
        <v>0.3003925681114197</v>
      </c>
      <c r="C45" s="1">
        <v>176</v>
      </c>
      <c r="D45" s="1">
        <v>0</v>
      </c>
      <c r="E45" s="1">
        <v>176</v>
      </c>
      <c r="F45" s="1">
        <v>0</v>
      </c>
      <c r="G45" s="1">
        <v>0</v>
      </c>
      <c r="H45" s="1">
        <v>0</v>
      </c>
    </row>
    <row r="46" spans="1:8">
      <c r="A46" s="1" t="s">
        <v>48</v>
      </c>
      <c r="B46" s="2">
        <v>0.2560163736343384</v>
      </c>
      <c r="C46" s="1">
        <v>150</v>
      </c>
      <c r="D46" s="1">
        <v>0</v>
      </c>
      <c r="E46" s="1">
        <v>150</v>
      </c>
      <c r="F46" s="1">
        <v>0</v>
      </c>
      <c r="G46" s="1">
        <v>0</v>
      </c>
      <c r="H46" s="1">
        <v>0</v>
      </c>
    </row>
    <row r="47" spans="1:8">
      <c r="A47" s="1" t="s">
        <v>17</v>
      </c>
      <c r="B47" s="2">
        <v>0.2526028454303742</v>
      </c>
      <c r="C47" s="1">
        <v>148</v>
      </c>
      <c r="D47" s="1">
        <v>4</v>
      </c>
      <c r="E47" s="1">
        <v>144</v>
      </c>
      <c r="F47" s="1">
        <v>0</v>
      </c>
      <c r="G47" s="1">
        <v>4</v>
      </c>
      <c r="H47" s="1">
        <v>0</v>
      </c>
    </row>
    <row r="48" spans="1:8">
      <c r="A48" s="1" t="s">
        <v>10</v>
      </c>
      <c r="B48" s="2">
        <v>0.2526028454303742</v>
      </c>
      <c r="C48" s="1">
        <v>148</v>
      </c>
      <c r="D48" s="1">
        <v>76</v>
      </c>
      <c r="E48" s="1">
        <v>72</v>
      </c>
      <c r="F48" s="1">
        <v>0</v>
      </c>
      <c r="G48" s="1">
        <v>76</v>
      </c>
      <c r="H48" s="1">
        <v>0</v>
      </c>
    </row>
    <row r="49" spans="1:8">
      <c r="A49" s="1" t="s">
        <v>49</v>
      </c>
      <c r="B49" s="2">
        <v>0.2526028454303742</v>
      </c>
      <c r="C49" s="1">
        <v>148</v>
      </c>
      <c r="D49" s="1">
        <v>0</v>
      </c>
      <c r="E49" s="1">
        <v>148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0.2389486283063889</v>
      </c>
      <c r="C50" s="1">
        <v>140</v>
      </c>
      <c r="D50" s="1">
        <v>0</v>
      </c>
      <c r="E50" s="1">
        <v>140</v>
      </c>
      <c r="F50" s="1">
        <v>0</v>
      </c>
      <c r="G50" s="1">
        <v>0</v>
      </c>
      <c r="H50" s="1">
        <v>0</v>
      </c>
    </row>
    <row r="51" spans="1:8">
      <c r="A51" s="1" t="s">
        <v>16</v>
      </c>
      <c r="B51" s="2">
        <v>0.2372418493032455</v>
      </c>
      <c r="C51" s="1">
        <v>139</v>
      </c>
      <c r="D51" s="1">
        <v>7</v>
      </c>
      <c r="E51" s="1">
        <v>132</v>
      </c>
      <c r="F51" s="1">
        <v>0</v>
      </c>
      <c r="G51" s="1">
        <v>7</v>
      </c>
      <c r="H51" s="1">
        <v>0</v>
      </c>
    </row>
    <row r="52" spans="1:8">
      <c r="A52" s="1" t="s">
        <v>51</v>
      </c>
      <c r="B52" s="2">
        <v>0.2355350703001022</v>
      </c>
      <c r="C52" s="1">
        <v>138</v>
      </c>
      <c r="D52" s="1">
        <v>0</v>
      </c>
      <c r="E52" s="1">
        <v>138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0.2355350703001022</v>
      </c>
      <c r="C53" s="1">
        <v>138</v>
      </c>
      <c r="D53" s="1">
        <v>0</v>
      </c>
      <c r="E53" s="1">
        <v>138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0.2184673100709915</v>
      </c>
      <c r="C54" s="1">
        <v>128</v>
      </c>
      <c r="D54" s="1">
        <v>0</v>
      </c>
      <c r="E54" s="1">
        <v>128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0.2184673100709915</v>
      </c>
      <c r="C55" s="1">
        <v>128</v>
      </c>
      <c r="D55" s="1">
        <v>0</v>
      </c>
      <c r="E55" s="1">
        <v>128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0.2116402089595795</v>
      </c>
      <c r="C56" s="1">
        <v>124</v>
      </c>
      <c r="D56" s="1">
        <v>0</v>
      </c>
      <c r="E56" s="1">
        <v>124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0.208226665854454</v>
      </c>
      <c r="C57" s="1">
        <v>122</v>
      </c>
      <c r="D57" s="1">
        <v>0</v>
      </c>
      <c r="E57" s="1">
        <v>122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0.2048131078481674</v>
      </c>
      <c r="C58" s="1">
        <v>120</v>
      </c>
      <c r="D58" s="1">
        <v>0</v>
      </c>
      <c r="E58" s="1">
        <v>120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0.1911589056253433</v>
      </c>
      <c r="C59" s="1">
        <v>112</v>
      </c>
      <c r="D59" s="1">
        <v>0</v>
      </c>
      <c r="E59" s="1">
        <v>112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0.177504688501358</v>
      </c>
      <c r="C60" s="1">
        <v>104</v>
      </c>
      <c r="D60" s="1">
        <v>0</v>
      </c>
      <c r="E60" s="1">
        <v>104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0.170677587389946</v>
      </c>
      <c r="C61" s="1">
        <v>100</v>
      </c>
      <c r="D61" s="1">
        <v>0</v>
      </c>
      <c r="E61" s="1">
        <v>100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0.1536098271608353</v>
      </c>
      <c r="C62" s="1">
        <v>90</v>
      </c>
      <c r="D62" s="1">
        <v>0</v>
      </c>
      <c r="E62" s="1">
        <v>90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0.1501962840557098</v>
      </c>
      <c r="C63" s="1">
        <v>88</v>
      </c>
      <c r="D63" s="1">
        <v>0</v>
      </c>
      <c r="E63" s="1">
        <v>88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0.1467827260494232</v>
      </c>
      <c r="C64" s="1">
        <v>86</v>
      </c>
      <c r="D64" s="1">
        <v>0</v>
      </c>
      <c r="E64" s="1">
        <v>86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0.1467827260494232</v>
      </c>
      <c r="C65" s="1">
        <v>86</v>
      </c>
      <c r="D65" s="1">
        <v>0</v>
      </c>
      <c r="E65" s="1">
        <v>86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0.1467827260494232</v>
      </c>
      <c r="C66" s="1">
        <v>86</v>
      </c>
      <c r="D66" s="1">
        <v>0</v>
      </c>
      <c r="E66" s="1">
        <v>86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0.1399556249380112</v>
      </c>
      <c r="C67" s="1">
        <v>82</v>
      </c>
      <c r="D67" s="1">
        <v>0</v>
      </c>
      <c r="E67" s="1">
        <v>82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0.1331285238265991</v>
      </c>
      <c r="C68" s="1">
        <v>78</v>
      </c>
      <c r="D68" s="1">
        <v>0</v>
      </c>
      <c r="E68" s="1">
        <v>78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0.1331285238265991</v>
      </c>
      <c r="C69" s="1">
        <v>78</v>
      </c>
      <c r="D69" s="1">
        <v>0</v>
      </c>
      <c r="E69" s="1">
        <v>78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0.1263014227151871</v>
      </c>
      <c r="C70" s="1">
        <v>74</v>
      </c>
      <c r="D70" s="1">
        <v>0</v>
      </c>
      <c r="E70" s="1">
        <v>74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0.1228878647089005</v>
      </c>
      <c r="C71" s="1">
        <v>72</v>
      </c>
      <c r="D71" s="1">
        <v>0</v>
      </c>
      <c r="E71" s="1">
        <v>72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0.1228878647089005</v>
      </c>
      <c r="C72" s="1">
        <v>72</v>
      </c>
      <c r="D72" s="1">
        <v>0</v>
      </c>
      <c r="E72" s="1">
        <v>72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0.1228878647089005</v>
      </c>
      <c r="C73" s="1">
        <v>72</v>
      </c>
      <c r="D73" s="1">
        <v>0</v>
      </c>
      <c r="E73" s="1">
        <v>44</v>
      </c>
      <c r="F73" s="1">
        <v>28</v>
      </c>
      <c r="G73" s="1">
        <v>0</v>
      </c>
      <c r="H73" s="1">
        <v>0</v>
      </c>
    </row>
    <row r="74" spans="1:8">
      <c r="A74" s="1" t="s">
        <v>73</v>
      </c>
      <c r="B74" s="2">
        <v>0.1160607635974884</v>
      </c>
      <c r="C74" s="1">
        <v>68</v>
      </c>
      <c r="D74" s="1">
        <v>0</v>
      </c>
      <c r="E74" s="1">
        <v>68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0.1092336550354958</v>
      </c>
      <c r="C75" s="1">
        <v>64</v>
      </c>
      <c r="D75" s="1">
        <v>0</v>
      </c>
      <c r="E75" s="1">
        <v>64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0.1092336550354958</v>
      </c>
      <c r="C76" s="1">
        <v>64</v>
      </c>
      <c r="D76" s="1">
        <v>0</v>
      </c>
      <c r="E76" s="1">
        <v>64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0.1058201044797897</v>
      </c>
      <c r="C77" s="1">
        <v>62</v>
      </c>
      <c r="D77" s="1">
        <v>0</v>
      </c>
      <c r="E77" s="1">
        <v>62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0.1024065539240837</v>
      </c>
      <c r="C78" s="1">
        <v>60</v>
      </c>
      <c r="D78" s="1">
        <v>0</v>
      </c>
      <c r="E78" s="1">
        <v>60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0.09216590225696564</v>
      </c>
      <c r="C79" s="1">
        <v>54</v>
      </c>
      <c r="D79" s="1">
        <v>0</v>
      </c>
      <c r="E79" s="1">
        <v>54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0.08875234425067902</v>
      </c>
      <c r="C80" s="1">
        <v>52</v>
      </c>
      <c r="D80" s="1">
        <v>0</v>
      </c>
      <c r="E80" s="1">
        <v>52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0.08875234425067902</v>
      </c>
      <c r="C81" s="1">
        <v>52</v>
      </c>
      <c r="D81" s="1">
        <v>0</v>
      </c>
      <c r="E81" s="1">
        <v>52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0.08192524313926697</v>
      </c>
      <c r="C82" s="1">
        <v>48</v>
      </c>
      <c r="D82" s="1">
        <v>0</v>
      </c>
      <c r="E82" s="1">
        <v>48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0.08192524313926697</v>
      </c>
      <c r="C83" s="1">
        <v>48</v>
      </c>
      <c r="D83" s="1">
        <v>0</v>
      </c>
      <c r="E83" s="1">
        <v>48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0.08192524313926697</v>
      </c>
      <c r="C84" s="1">
        <v>48</v>
      </c>
      <c r="D84" s="1">
        <v>0</v>
      </c>
      <c r="E84" s="1">
        <v>48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0.07509814202785492</v>
      </c>
      <c r="C85" s="1">
        <v>44</v>
      </c>
      <c r="D85" s="1">
        <v>0</v>
      </c>
      <c r="E85" s="1">
        <v>44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0.07509814202785492</v>
      </c>
      <c r="C86" s="1">
        <v>44</v>
      </c>
      <c r="D86" s="1">
        <v>0</v>
      </c>
      <c r="E86" s="1">
        <v>44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0.07509814202785492</v>
      </c>
      <c r="C87" s="1">
        <v>44</v>
      </c>
      <c r="D87" s="1">
        <v>0</v>
      </c>
      <c r="E87" s="1">
        <v>44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0.07509814202785492</v>
      </c>
      <c r="C88" s="1">
        <v>44</v>
      </c>
      <c r="D88" s="1">
        <v>0</v>
      </c>
      <c r="E88" s="1">
        <v>44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0.06827103346586227</v>
      </c>
      <c r="C89" s="1">
        <v>40</v>
      </c>
      <c r="D89" s="1">
        <v>0</v>
      </c>
      <c r="E89" s="1">
        <v>40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0.06485748291015625</v>
      </c>
      <c r="C90" s="1">
        <v>38</v>
      </c>
      <c r="D90" s="1">
        <v>0</v>
      </c>
      <c r="E90" s="1">
        <v>38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0.06144393235445023</v>
      </c>
      <c r="C91" s="1">
        <v>36</v>
      </c>
      <c r="D91" s="1">
        <v>0</v>
      </c>
      <c r="E91" s="1">
        <v>36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0.06144393235445023</v>
      </c>
      <c r="C92" s="1">
        <v>36</v>
      </c>
      <c r="D92" s="1">
        <v>0</v>
      </c>
      <c r="E92" s="1">
        <v>36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0.05461682751774788</v>
      </c>
      <c r="C93" s="1">
        <v>32</v>
      </c>
      <c r="D93" s="1">
        <v>0</v>
      </c>
      <c r="E93" s="1">
        <v>32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0.04778972640633583</v>
      </c>
      <c r="C94" s="1">
        <v>28</v>
      </c>
      <c r="D94" s="1">
        <v>0</v>
      </c>
      <c r="E94" s="1">
        <v>28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0.04778972640633583</v>
      </c>
      <c r="C95" s="1">
        <v>28</v>
      </c>
      <c r="D95" s="1">
        <v>0</v>
      </c>
      <c r="E95" s="1">
        <v>28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0.03413551673293114</v>
      </c>
      <c r="C96" s="1">
        <v>20</v>
      </c>
      <c r="D96" s="1">
        <v>0</v>
      </c>
      <c r="E96" s="1">
        <v>20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0.03413551673293114</v>
      </c>
      <c r="C97" s="1">
        <v>20</v>
      </c>
      <c r="D97" s="1">
        <v>0</v>
      </c>
      <c r="E97" s="1">
        <v>20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0.03072196617722511</v>
      </c>
      <c r="C98" s="1">
        <v>18</v>
      </c>
      <c r="D98" s="1">
        <v>0</v>
      </c>
      <c r="E98" s="1">
        <v>18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0.03072196617722511</v>
      </c>
      <c r="C99" s="1">
        <v>18</v>
      </c>
      <c r="D99" s="1">
        <v>0</v>
      </c>
      <c r="E99" s="1">
        <v>18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0.02730841375887394</v>
      </c>
      <c r="C100" s="1">
        <v>16</v>
      </c>
      <c r="D100" s="1">
        <v>0</v>
      </c>
      <c r="E100" s="1">
        <v>16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0.02730841375887394</v>
      </c>
      <c r="C101" s="1">
        <v>16</v>
      </c>
      <c r="D101" s="1">
        <v>0</v>
      </c>
      <c r="E101" s="1">
        <v>16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0.02730841375887394</v>
      </c>
      <c r="C102" s="1">
        <v>16</v>
      </c>
      <c r="D102" s="1">
        <v>0</v>
      </c>
      <c r="E102" s="1">
        <v>16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0.02389486320316792</v>
      </c>
      <c r="C103" s="1">
        <v>14</v>
      </c>
      <c r="D103" s="1">
        <v>0</v>
      </c>
      <c r="E103" s="1">
        <v>14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0.02048131078481674</v>
      </c>
      <c r="C104" s="1">
        <v>12</v>
      </c>
      <c r="D104" s="1">
        <v>0</v>
      </c>
      <c r="E104" s="1">
        <v>12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0.02048131078481674</v>
      </c>
      <c r="C105" s="1">
        <v>12</v>
      </c>
      <c r="D105" s="1">
        <v>0</v>
      </c>
      <c r="E105" s="1">
        <v>12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0.02048131078481674</v>
      </c>
      <c r="C106" s="1">
        <v>12</v>
      </c>
      <c r="D106" s="1">
        <v>0</v>
      </c>
      <c r="E106" s="1">
        <v>12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0.02048131078481674</v>
      </c>
      <c r="C107" s="1">
        <v>12</v>
      </c>
      <c r="D107" s="1">
        <v>0</v>
      </c>
      <c r="E107" s="1">
        <v>12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0.01706775836646557</v>
      </c>
      <c r="C108" s="1">
        <v>10</v>
      </c>
      <c r="D108" s="1">
        <v>0</v>
      </c>
      <c r="E108" s="1">
        <v>10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0.01706775836646557</v>
      </c>
      <c r="C109" s="1">
        <v>10</v>
      </c>
      <c r="D109" s="1">
        <v>0</v>
      </c>
      <c r="E109" s="1">
        <v>10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0.01706775836646557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0.01706775836646557</v>
      </c>
      <c r="C111" s="1">
        <v>10</v>
      </c>
      <c r="D111" s="1">
        <v>0</v>
      </c>
      <c r="E111" s="1">
        <v>10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0.01706775836646557</v>
      </c>
      <c r="C112" s="1">
        <v>10</v>
      </c>
      <c r="D112" s="1">
        <v>0</v>
      </c>
      <c r="E112" s="1">
        <v>10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0.01706775836646557</v>
      </c>
      <c r="C113" s="1">
        <v>10</v>
      </c>
      <c r="D113" s="1">
        <v>0</v>
      </c>
      <c r="E113" s="1">
        <v>10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0.01365420687943697</v>
      </c>
      <c r="C114" s="1">
        <v>8</v>
      </c>
      <c r="D114" s="1">
        <v>0</v>
      </c>
      <c r="E114" s="1">
        <v>8</v>
      </c>
      <c r="F114" s="1">
        <v>0</v>
      </c>
      <c r="G114" s="1">
        <v>0</v>
      </c>
      <c r="H114" s="1">
        <v>0</v>
      </c>
    </row>
    <row r="115" spans="1:8">
      <c r="A115" s="1" t="s">
        <v>8</v>
      </c>
      <c r="B115" s="2">
        <v>0.01365420687943697</v>
      </c>
      <c r="C115" s="1">
        <v>8</v>
      </c>
      <c r="D115" s="1">
        <v>96</v>
      </c>
      <c r="E115" s="1">
        <v>8</v>
      </c>
      <c r="F115" s="1">
        <v>0</v>
      </c>
      <c r="G115" s="1">
        <v>0</v>
      </c>
      <c r="H115" s="1">
        <v>96</v>
      </c>
    </row>
    <row r="116" spans="1:8">
      <c r="A116" s="1" t="s">
        <v>114</v>
      </c>
      <c r="B116" s="2">
        <v>0.01365420687943697</v>
      </c>
      <c r="C116" s="1">
        <v>8</v>
      </c>
      <c r="D116" s="1">
        <v>0</v>
      </c>
      <c r="E116" s="1">
        <v>8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0.01024065539240837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0.01024065539240837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0.01024065539240837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0.01024065539240837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0.01024065539240837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0.01024065539240837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0.01024065539240837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0.01024065539240837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0.01024065539240837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0.01024065539240837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0.01024065539240837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0.01024065539240837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0.01024065539240837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0.01024065539240837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0.01024065539240837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0.01024065539240837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0.01024065539240837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0.01024065539240837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0.01024065539240837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0.01024065539240837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0.01024065539240837</v>
      </c>
      <c r="C137" s="1">
        <v>6</v>
      </c>
      <c r="D137" s="1">
        <v>0</v>
      </c>
      <c r="E137" s="1">
        <v>6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0.01024065539240837</v>
      </c>
      <c r="C138" s="1">
        <v>6</v>
      </c>
      <c r="D138" s="1">
        <v>0</v>
      </c>
      <c r="E138" s="1">
        <v>6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0.006827103439718485</v>
      </c>
      <c r="C139" s="1">
        <v>4</v>
      </c>
      <c r="D139" s="1">
        <v>0</v>
      </c>
      <c r="E139" s="1">
        <v>4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0.006827103439718485</v>
      </c>
      <c r="C140" s="1">
        <v>4</v>
      </c>
      <c r="D140" s="1">
        <v>0</v>
      </c>
      <c r="E140" s="1">
        <v>4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0.006827103439718485</v>
      </c>
      <c r="C141" s="1">
        <v>4</v>
      </c>
      <c r="D141" s="1">
        <v>0</v>
      </c>
      <c r="E141" s="1">
        <v>4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0.003413551719859242</v>
      </c>
      <c r="C142" s="1">
        <v>2</v>
      </c>
      <c r="D142" s="1">
        <v>0</v>
      </c>
      <c r="E142" s="1">
        <v>2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0.003413551719859242</v>
      </c>
      <c r="C143" s="1">
        <v>2</v>
      </c>
      <c r="D143" s="1">
        <v>0</v>
      </c>
      <c r="E143" s="1">
        <v>2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0.003413551719859242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0.003413551719859242</v>
      </c>
      <c r="C145" s="1">
        <v>2</v>
      </c>
      <c r="D145" s="1">
        <v>0</v>
      </c>
      <c r="E145" s="1">
        <v>2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0.003413551719859242</v>
      </c>
      <c r="C146" s="1">
        <v>2</v>
      </c>
      <c r="D146" s="1">
        <v>0</v>
      </c>
      <c r="E146" s="1">
        <v>2</v>
      </c>
      <c r="F146" s="1">
        <v>0</v>
      </c>
      <c r="G146" s="1">
        <v>0</v>
      </c>
      <c r="H146" s="1">
        <v>0</v>
      </c>
    </row>
    <row r="147" spans="1:8">
      <c r="A147" t="s">
        <v>146</v>
      </c>
      <c r="B147">
        <f>SUBTOTAL(109,[flash_percent])</f>
        <v>0</v>
      </c>
      <c r="C147">
        <f>SUBTOTAL(109,[flash])</f>
        <v>0</v>
      </c>
      <c r="D147">
        <f>SUBTOTAL(109,[ram])</f>
        <v>0</v>
      </c>
      <c r="E147">
        <f>SUBTOTAL(109,[Code])</f>
        <v>0</v>
      </c>
      <c r="F147">
        <f>SUBTOTAL(109,[RO_data])</f>
        <v>0</v>
      </c>
      <c r="G147">
        <f>SUBTOTAL(109,[RW_data])</f>
        <v>0</v>
      </c>
      <c r="H14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2025-06-17T07:34:16Z</dcterms:created>
  <dcterms:modified xsi:type="dcterms:W3CDTF">2025-06-17T07:34:16Z</dcterms:modified>
</cp:coreProperties>
</file>